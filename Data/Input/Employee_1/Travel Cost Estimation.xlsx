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Roldan.FSOFT.FPT.VN\Downloads\Travel Docs-Sample\"/>
    </mc:Choice>
  </mc:AlternateContent>
  <xr:revisionPtr revIDLastSave="0" documentId="13_ncr:1_{542E23BD-366A-4AA4-8289-D9DA0E33851F}" xr6:coauthVersionLast="47" xr6:coauthVersionMax="47" xr10:uidLastSave="{00000000-0000-0000-0000-000000000000}"/>
  <bookViews>
    <workbookView xWindow="-110" yWindow="-110" windowWidth="19420" windowHeight="10300" xr2:uid="{EB06B80C-AB5A-4660-98E3-4CF834E8BC72}"/>
  </bookViews>
  <sheets>
    <sheet name="Travel Cost Est" sheetId="5" r:id="rId1"/>
    <sheet name="Standard" sheetId="6" r:id="rId2"/>
  </sheets>
  <definedNames>
    <definedName name="_xlnm.Print_Area" localSheetId="0">'Travel Cost Est'!$A$1:$J$30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E12" i="5"/>
  <c r="E13" i="5"/>
  <c r="C25" i="5"/>
  <c r="E24" i="5" l="1"/>
  <c r="E23" i="5"/>
  <c r="F23" i="5" s="1"/>
  <c r="D21" i="5"/>
  <c r="E18" i="5" l="1"/>
  <c r="F18" i="5" s="1"/>
  <c r="E19" i="5"/>
  <c r="F19" i="5" s="1"/>
  <c r="E20" i="5"/>
  <c r="F20" i="5" s="1"/>
  <c r="E22" i="5"/>
  <c r="F22" i="5" s="1"/>
  <c r="E26" i="5"/>
  <c r="F26" i="5" s="1"/>
  <c r="E27" i="5"/>
  <c r="F27" i="5" s="1"/>
  <c r="E17" i="5"/>
  <c r="F17" i="5" l="1"/>
  <c r="F24" i="5"/>
  <c r="E21" i="5"/>
  <c r="F21" i="5" s="1"/>
  <c r="E28" i="5" l="1"/>
  <c r="F28" i="5" s="1"/>
  <c r="E25" i="5"/>
  <c r="F25" i="5" l="1"/>
  <c r="E29" i="5"/>
  <c r="F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Do Tran Anh</author>
  </authors>
  <commentList>
    <comment ref="B11" authorId="0" shapeId="0" xr:uid="{528145C4-E010-464E-B726-5C06401C750A}">
      <text>
        <r>
          <rPr>
            <b/>
            <sz val="9"/>
            <color indexed="81"/>
            <rFont val="Tahoma"/>
            <family val="2"/>
          </rPr>
          <t>Vu Do Tran Anh:</t>
        </r>
        <r>
          <rPr>
            <sz val="9"/>
            <color indexed="81"/>
            <rFont val="Tahoma"/>
            <family val="2"/>
          </rPr>
          <t xml:space="preserve">
Please check first in "Standard" Tab, the currency used to define Standard. If it's USD , please input 1 in this field.</t>
        </r>
      </text>
    </comment>
    <comment ref="C22" authorId="0" shapeId="0" xr:uid="{D45610DC-F971-4A2C-842E-C87D9DB430AB}">
      <text>
        <r>
          <rPr>
            <b/>
            <sz val="9"/>
            <color indexed="81"/>
            <rFont val="Tahoma"/>
            <family val="2"/>
          </rPr>
          <t>Vu Do Tran Anh:</t>
        </r>
        <r>
          <rPr>
            <sz val="9"/>
            <color indexed="81"/>
            <rFont val="Tahoma"/>
            <family val="2"/>
          </rPr>
          <t xml:space="preserve">
This is estimation for Airpot transportation allowance (Home - Airport - Airport - Office/Accommodation - Airport - Airport - Home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Do Tran Anh</author>
  </authors>
  <commentList>
    <comment ref="B8" authorId="0" shapeId="0" xr:uid="{6F196A7D-BC14-41BC-B7AC-D426673DA9EF}">
      <text>
        <r>
          <rPr>
            <b/>
            <sz val="9"/>
            <color indexed="81"/>
            <rFont val="Tahoma"/>
            <family val="2"/>
          </rPr>
          <t>Vu Do Tran Anh:</t>
        </r>
        <r>
          <rPr>
            <sz val="9"/>
            <color indexed="81"/>
            <rFont val="Tahoma"/>
            <family val="2"/>
          </rPr>
          <t xml:space="preserve">
Apply standard budget of level 5+ (1,200,000 VND/night)</t>
        </r>
      </text>
    </comment>
    <comment ref="C8" authorId="0" shapeId="0" xr:uid="{F35F3519-B129-4949-BAE0-C2F8F63FE91B}">
      <text>
        <r>
          <rPr>
            <b/>
            <sz val="9"/>
            <color indexed="81"/>
            <rFont val="Tahoma"/>
            <family val="2"/>
          </rPr>
          <t>Vu Do Tran Anh:</t>
        </r>
        <r>
          <rPr>
            <sz val="9"/>
            <color indexed="81"/>
            <rFont val="Tahoma"/>
            <family val="2"/>
          </rPr>
          <t xml:space="preserve">
Special per diem per FPHI policy</t>
        </r>
      </text>
    </comment>
  </commentList>
</comments>
</file>

<file path=xl/sharedStrings.xml><?xml version="1.0" encoding="utf-8"?>
<sst xmlns="http://schemas.openxmlformats.org/spreadsheetml/2006/main" count="157" uniqueCount="108">
  <si>
    <t>TRAVEL COST ESTIMATION FORM</t>
  </si>
  <si>
    <t>Please fill-out the cells in white.</t>
  </si>
  <si>
    <t>Requestor:</t>
  </si>
  <si>
    <t>Nature of Trip:</t>
  </si>
  <si>
    <t>Travel Type:</t>
  </si>
  <si>
    <t>International</t>
  </si>
  <si>
    <t>Destination Country / Route:</t>
  </si>
  <si>
    <t>From (Place of Origin):</t>
  </si>
  <si>
    <t>To (Place of Destination):</t>
  </si>
  <si>
    <t>Travel Period:</t>
  </si>
  <si>
    <t>From:</t>
  </si>
  <si>
    <t>To:</t>
  </si>
  <si>
    <t>Duration (Days):</t>
  </si>
  <si>
    <t>Conversion Rate Of Usd To Php (Use Recent From BSP)</t>
  </si>
  <si>
    <t>ITEM</t>
  </si>
  <si>
    <t>UNIT PRICE
(PHP)</t>
  </si>
  <si>
    <t>QTY</t>
  </si>
  <si>
    <t>PHP</t>
  </si>
  <si>
    <t>USD</t>
  </si>
  <si>
    <t>REMARKS</t>
  </si>
  <si>
    <r>
      <rPr>
        <b/>
        <sz val="11"/>
        <color theme="1"/>
        <rFont val="Calibri"/>
        <family val="2"/>
        <scheme val="minor"/>
      </rPr>
      <t>Visa Application Fee</t>
    </r>
    <r>
      <rPr>
        <sz val="11"/>
        <color theme="1"/>
        <rFont val="Calibri"/>
        <family val="2"/>
        <scheme val="minor"/>
      </rPr>
      <t xml:space="preserve">  
*contingent to destination country</t>
    </r>
  </si>
  <si>
    <t>Roundtrip Airline Ticket</t>
  </si>
  <si>
    <t>Travel Tax</t>
  </si>
  <si>
    <t>International Travel Insurance</t>
  </si>
  <si>
    <r>
      <rPr>
        <b/>
        <sz val="11"/>
        <color theme="1"/>
        <rFont val="Calibri"/>
        <family val="2"/>
        <scheme val="minor"/>
      </rPr>
      <t>Per Diem Allowance</t>
    </r>
    <r>
      <rPr>
        <sz val="11"/>
        <color theme="1"/>
        <rFont val="Calibri"/>
        <family val="2"/>
        <scheme val="minor"/>
      </rPr>
      <t xml:space="preserve">
*International - refer to corporate travel policy
</t>
    </r>
  </si>
  <si>
    <r>
      <rPr>
        <b/>
        <sz val="11"/>
        <color theme="1"/>
        <rFont val="Calibri"/>
        <family val="2"/>
        <scheme val="minor"/>
      </rPr>
      <t>Accommodation</t>
    </r>
    <r>
      <rPr>
        <sz val="11"/>
        <color theme="1"/>
        <rFont val="Calibri"/>
        <family val="2"/>
        <scheme val="minor"/>
      </rPr>
      <t xml:space="preserve">
*preferrably accredited hotels or accommodation
*consider also recommendations/requirements from SSC / host
</t>
    </r>
  </si>
  <si>
    <r>
      <rPr>
        <b/>
        <sz val="11"/>
        <color theme="1"/>
        <rFont val="Calibri"/>
        <family val="2"/>
        <scheme val="minor"/>
      </rPr>
      <t>Laundry Allowance</t>
    </r>
    <r>
      <rPr>
        <sz val="11"/>
        <color theme="1"/>
        <rFont val="Calibri"/>
        <family val="2"/>
        <scheme val="minor"/>
      </rPr>
      <t xml:space="preserve">
*for trips more than 7 days
*allowance to start on the 2nd week of travel  
*if allowance is not enough, emp to escalate to mgt for special approval by MD</t>
    </r>
  </si>
  <si>
    <r>
      <rPr>
        <b/>
        <sz val="11"/>
        <color theme="1"/>
        <rFont val="Calibri"/>
        <family val="2"/>
        <scheme val="minor"/>
      </rPr>
      <t>Winter Clothing Allowance</t>
    </r>
    <r>
      <rPr>
        <sz val="11"/>
        <color theme="1"/>
        <rFont val="Calibri"/>
        <family val="2"/>
        <scheme val="minor"/>
      </rPr>
      <t xml:space="preserve">
*Travel time need to overlap during autumn - winter season in destination country.
*Subsidy subject to liquidation with official receipts will be provided.
*Traveler can only claim for another WCA after 5 years from date of previous travel.
</t>
    </r>
  </si>
  <si>
    <r>
      <rPr>
        <b/>
        <sz val="11"/>
        <color theme="1"/>
        <rFont val="Calibri"/>
        <family val="2"/>
        <scheme val="minor"/>
      </rPr>
      <t>Communications Allowance</t>
    </r>
    <r>
      <rPr>
        <sz val="11"/>
        <color theme="1"/>
        <rFont val="Calibri"/>
        <family val="2"/>
        <scheme val="minor"/>
      </rPr>
      <t xml:space="preserve">
*Cost for SIM CARD and DATA shouldered by company
*DATA LIMIT per country subject to approval by LM and MD
*DATA Roaming charges subject to approval by LM and MD</t>
    </r>
  </si>
  <si>
    <r>
      <rPr>
        <b/>
        <sz val="11"/>
        <color theme="1"/>
        <rFont val="Calibri"/>
        <family val="2"/>
        <scheme val="minor"/>
      </rPr>
      <t>Bank / ATM Charges</t>
    </r>
    <r>
      <rPr>
        <sz val="11"/>
        <color theme="1"/>
        <rFont val="Calibri"/>
        <family val="2"/>
        <scheme val="minor"/>
      </rPr>
      <t xml:space="preserve">
*company absorbs bank charges for once a week withdrawal only, beginning on the 2nd week based on actual cost and with corresponding withdrawal receipt</t>
    </r>
  </si>
  <si>
    <t>TOTAL ESTIMATED COST OF TRIP</t>
  </si>
  <si>
    <t>Standard Perdiem in destination country (USD/day)</t>
  </si>
  <si>
    <t>Standard Laundry allowance in destination country (USD/7days)</t>
  </si>
  <si>
    <t>Standard Laundry Allowance</t>
  </si>
  <si>
    <t>Travel Type</t>
  </si>
  <si>
    <t>Domestic</t>
  </si>
  <si>
    <t>Alllowance (USD/7 days)</t>
  </si>
  <si>
    <t>Destination Country</t>
  </si>
  <si>
    <t>Vietnam</t>
  </si>
  <si>
    <t>Japan</t>
  </si>
  <si>
    <t>Perdiem/day</t>
  </si>
  <si>
    <t>Conversion Rate Of Destination Country Currency to USD</t>
  </si>
  <si>
    <t>Standard Accommodation &amp; Per Diem</t>
  </si>
  <si>
    <t>USA (New York)</t>
  </si>
  <si>
    <t>Accommodation/day</t>
  </si>
  <si>
    <t>USA (California)</t>
  </si>
  <si>
    <t>USA (Miami)</t>
  </si>
  <si>
    <t>Argentina</t>
  </si>
  <si>
    <t>Mexico (Mexico city)</t>
  </si>
  <si>
    <t>Costa Rica</t>
  </si>
  <si>
    <t>Columbia</t>
  </si>
  <si>
    <t>Belgium</t>
  </si>
  <si>
    <t>Austria</t>
  </si>
  <si>
    <t>Netherlands</t>
  </si>
  <si>
    <t>Denmark</t>
  </si>
  <si>
    <t>Sweden</t>
  </si>
  <si>
    <t>Spain</t>
  </si>
  <si>
    <t>Germany</t>
  </si>
  <si>
    <t>France</t>
  </si>
  <si>
    <t>France (Paris)</t>
  </si>
  <si>
    <t>France(Toulouse)</t>
  </si>
  <si>
    <t>Germany (Berlin)</t>
  </si>
  <si>
    <t>Australia</t>
  </si>
  <si>
    <t>New Zealand</t>
  </si>
  <si>
    <t>Czech Republic</t>
  </si>
  <si>
    <t>Slovakia</t>
  </si>
  <si>
    <t>Hungary</t>
  </si>
  <si>
    <t>Bulgaria</t>
  </si>
  <si>
    <t>Romania</t>
  </si>
  <si>
    <t>Poland</t>
  </si>
  <si>
    <t>Other European countries (Cyprus, Estonia, Latvia, Lithuania, Malta, Slovenia, etc.)</t>
  </si>
  <si>
    <t>Singapore</t>
  </si>
  <si>
    <t>Taiwan</t>
  </si>
  <si>
    <t>UAE</t>
  </si>
  <si>
    <t>China</t>
  </si>
  <si>
    <t>Korea</t>
  </si>
  <si>
    <t>Hong Kong</t>
  </si>
  <si>
    <t>Dubai</t>
  </si>
  <si>
    <t>Thailand</t>
  </si>
  <si>
    <t>Malaysia</t>
  </si>
  <si>
    <t>Indonesia</t>
  </si>
  <si>
    <t>Myanmar</t>
  </si>
  <si>
    <t>Brunei</t>
  </si>
  <si>
    <t>Cambodia</t>
  </si>
  <si>
    <t>Laos</t>
  </si>
  <si>
    <t>India</t>
  </si>
  <si>
    <t>Nigeria</t>
  </si>
  <si>
    <t>Others</t>
  </si>
  <si>
    <t>Philippines</t>
  </si>
  <si>
    <t>Philippines (Domestic)</t>
  </si>
  <si>
    <t>Currency</t>
  </si>
  <si>
    <t>GBP</t>
  </si>
  <si>
    <t>UK</t>
  </si>
  <si>
    <t>Swiss</t>
  </si>
  <si>
    <t>EUR</t>
  </si>
  <si>
    <t>AUD</t>
  </si>
  <si>
    <t>JPY</t>
  </si>
  <si>
    <t>Refer to HO Standard</t>
  </si>
  <si>
    <t>https://qms.fpt.com/document-detail/018100ca-adb1-426e-97dd-b77c627e00fc/view</t>
  </si>
  <si>
    <t>https://qms.fpt.com/document-detail/939dd5cb-ab2c-4c5d-b61a-ca25c0ef08ba/view</t>
  </si>
  <si>
    <t>Transportation
(Airport -&gt; Office -&gt; Airport</t>
  </si>
  <si>
    <t>Standard Accommodation allowance in destination country (USD/day)</t>
  </si>
  <si>
    <r>
      <rPr>
        <b/>
        <sz val="11"/>
        <color theme="1"/>
        <rFont val="Calibri"/>
        <family val="2"/>
        <scheme val="minor"/>
      </rPr>
      <t>Airport Transportation</t>
    </r>
    <r>
      <rPr>
        <sz val="11"/>
        <color theme="1"/>
        <rFont val="Calibri"/>
        <family val="2"/>
        <scheme val="minor"/>
      </rPr>
      <t xml:space="preserve">
*Actual cost with receipt (bus ticket, taxi receipt, grab booking, etc)
*Covers transportation from/to PH airport, from/to destination airport as well as other official transportation 
*For travels using own vehicle, can reimburse using gasoline official receipt. Use grab booking fees as cost reference (use same travel time as actual to airport)</t>
    </r>
  </si>
  <si>
    <t>Refer to FPHI Standard</t>
  </si>
  <si>
    <t>https://insight.fsoft.com.vn/conf/display/FPTSPHIC2/3.+Travel+Policy</t>
  </si>
  <si>
    <t>US, Canada</t>
  </si>
  <si>
    <r>
      <t xml:space="preserve">Transportation Cost
</t>
    </r>
    <r>
      <rPr>
        <sz val="11"/>
        <color theme="1"/>
        <rFont val="Calibri"/>
        <family val="2"/>
        <scheme val="minor"/>
      </rPr>
      <t>*covers local transportation from home to destination
*e.g. house to airport, airport to hotel, others</t>
    </r>
  </si>
  <si>
    <t>Employee to travel: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</si>
</sst>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PHP]\ #,##0.00_);\([$PHP]\ #,##0.00\)"/>
    <numFmt numFmtId="166" formatCode="[$$-409]#,##0.00_);\([$$-409]#,##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1"/>
      <color rgb="FFC00000"/>
      <name val="Calibri Light"/>
      <family val="2"/>
      <scheme val="major"/>
    </font>
    <font>
      <b/>
      <sz val="11"/>
      <color rgb="FF0070C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0"/>
      <name val="Nunito Sans"/>
    </font>
    <font>
      <b/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6"/>
      <color theme="1"/>
      <name val="Tahoma"/>
      <family val="2"/>
    </font>
    <font>
      <b/>
      <sz val="11"/>
      <color rgb="FF0070C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8" borderId="0" xfId="0" applyFont="1" applyFill="1" applyAlignment="1">
      <alignment horizontal="left" vertical="center"/>
    </xf>
    <xf numFmtId="14" fontId="3" fillId="0" borderId="0" xfId="0" applyNumberFormat="1" applyFont="1"/>
    <xf numFmtId="0" fontId="10" fillId="3" borderId="1" xfId="0" applyFont="1" applyFill="1" applyBorder="1" applyAlignment="1">
      <alignment horizontal="right" vertical="center"/>
    </xf>
    <xf numFmtId="164" fontId="10" fillId="3" borderId="1" xfId="1" applyFont="1" applyFill="1" applyBorder="1" applyAlignment="1">
      <alignment horizontal="right" vertical="center"/>
    </xf>
    <xf numFmtId="164" fontId="2" fillId="5" borderId="1" xfId="2" applyNumberFormat="1" applyBorder="1" applyAlignment="1">
      <alignment vertical="top" wrapText="1"/>
    </xf>
    <xf numFmtId="0" fontId="1" fillId="7" borderId="2" xfId="4" applyFont="1" applyBorder="1" applyAlignment="1">
      <alignment horizontal="left"/>
    </xf>
    <xf numFmtId="0" fontId="3" fillId="0" borderId="0" xfId="0" applyFont="1" applyAlignment="1">
      <alignment wrapText="1"/>
    </xf>
    <xf numFmtId="0" fontId="0" fillId="6" borderId="1" xfId="3" applyFont="1" applyBorder="1" applyAlignment="1">
      <alignment vertical="top" wrapText="1"/>
    </xf>
    <xf numFmtId="0" fontId="1" fillId="6" borderId="1" xfId="3" applyFont="1" applyBorder="1" applyAlignment="1">
      <alignment vertical="top" wrapText="1"/>
    </xf>
    <xf numFmtId="0" fontId="0" fillId="6" borderId="4" xfId="3" applyFont="1" applyBorder="1" applyAlignment="1">
      <alignment vertical="top" wrapText="1"/>
    </xf>
    <xf numFmtId="165" fontId="10" fillId="4" borderId="1" xfId="1" applyNumberFormat="1" applyFont="1" applyFill="1" applyBorder="1" applyAlignment="1">
      <alignment vertical="center"/>
    </xf>
    <xf numFmtId="166" fontId="11" fillId="4" borderId="1" xfId="1" applyNumberFormat="1" applyFont="1" applyFill="1" applyBorder="1" applyAlignment="1">
      <alignment vertical="center" wrapText="1"/>
    </xf>
    <xf numFmtId="164" fontId="4" fillId="0" borderId="1" xfId="1" applyFont="1" applyFill="1" applyBorder="1" applyAlignment="1" applyProtection="1">
      <alignment vertical="top" wrapText="1"/>
      <protection locked="0"/>
    </xf>
    <xf numFmtId="0" fontId="7" fillId="0" borderId="3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13" fillId="0" borderId="0" xfId="0" applyFont="1"/>
    <xf numFmtId="0" fontId="1" fillId="0" borderId="1" xfId="0" applyFont="1" applyBorder="1"/>
    <xf numFmtId="0" fontId="0" fillId="0" borderId="1" xfId="0" applyBorder="1"/>
    <xf numFmtId="164" fontId="1" fillId="5" borderId="1" xfId="2" applyNumberFormat="1" applyFont="1" applyBorder="1" applyAlignment="1">
      <alignment vertical="top" wrapText="1"/>
    </xf>
    <xf numFmtId="0" fontId="1" fillId="0" borderId="0" xfId="0" applyFont="1"/>
    <xf numFmtId="0" fontId="14" fillId="0" borderId="0" xfId="0" applyFont="1" applyAlignment="1">
      <alignment horizontal="right"/>
    </xf>
    <xf numFmtId="0" fontId="15" fillId="0" borderId="0" xfId="5"/>
    <xf numFmtId="0" fontId="1" fillId="0" borderId="1" xfId="0" applyFont="1" applyBorder="1" applyAlignment="1">
      <alignment wrapText="1"/>
    </xf>
    <xf numFmtId="0" fontId="18" fillId="0" borderId="0" xfId="0" applyFont="1" applyAlignment="1">
      <alignment horizontal="right"/>
    </xf>
    <xf numFmtId="0" fontId="7" fillId="0" borderId="1" xfId="0" applyFont="1" applyBorder="1" applyProtection="1">
      <protection locked="0"/>
    </xf>
    <xf numFmtId="0" fontId="1" fillId="7" borderId="3" xfId="4" applyFont="1" applyBorder="1" applyAlignment="1">
      <alignment horizontal="left"/>
    </xf>
    <xf numFmtId="0" fontId="1" fillId="7" borderId="7" xfId="4" applyFont="1" applyBorder="1" applyAlignment="1">
      <alignment horizontal="left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7" fillId="0" borderId="7" xfId="0" applyFont="1" applyBorder="1" applyAlignment="1" applyProtection="1">
      <alignment horizontal="left"/>
      <protection locked="0"/>
    </xf>
    <xf numFmtId="0" fontId="1" fillId="6" borderId="4" xfId="3" applyFont="1" applyBorder="1" applyAlignment="1">
      <alignment vertical="top" wrapText="1"/>
    </xf>
    <xf numFmtId="0" fontId="3" fillId="9" borderId="0" xfId="0" applyFont="1" applyFill="1" applyAlignment="1">
      <alignment wrapText="1"/>
    </xf>
    <xf numFmtId="164" fontId="4" fillId="10" borderId="1" xfId="1" applyFont="1" applyFill="1" applyBorder="1" applyAlignment="1" applyProtection="1">
      <alignment vertical="top" wrapText="1"/>
      <protection locked="0"/>
    </xf>
    <xf numFmtId="164" fontId="1" fillId="10" borderId="1" xfId="2" applyNumberFormat="1" applyFont="1" applyFill="1" applyBorder="1" applyAlignment="1" applyProtection="1">
      <alignment vertical="top" wrapText="1"/>
      <protection locked="0"/>
    </xf>
    <xf numFmtId="164" fontId="1" fillId="10" borderId="1" xfId="2" applyNumberFormat="1" applyFont="1" applyFill="1" applyBorder="1" applyAlignment="1">
      <alignment vertical="top" wrapText="1"/>
    </xf>
    <xf numFmtId="164" fontId="2" fillId="8" borderId="2" xfId="2" applyNumberFormat="1" applyFill="1" applyBorder="1" applyAlignment="1">
      <alignment horizontal="left" vertical="top" wrapText="1"/>
    </xf>
    <xf numFmtId="164" fontId="2" fillId="8" borderId="7" xfId="2" applyNumberForma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64" fontId="20" fillId="8" borderId="2" xfId="2" applyNumberFormat="1" applyFont="1" applyFill="1" applyBorder="1" applyAlignment="1">
      <alignment horizontal="left" vertical="top" wrapText="1"/>
    </xf>
    <xf numFmtId="164" fontId="20" fillId="8" borderId="7" xfId="2" applyNumberFormat="1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64" fontId="19" fillId="8" borderId="2" xfId="2" applyNumberFormat="1" applyFont="1" applyFill="1" applyBorder="1" applyAlignment="1">
      <alignment horizontal="left" vertical="top" wrapText="1"/>
    </xf>
    <xf numFmtId="164" fontId="19" fillId="8" borderId="7" xfId="2" applyNumberFormat="1" applyFont="1" applyFill="1" applyBorder="1" applyAlignment="1">
      <alignment horizontal="left" vertical="top" wrapText="1"/>
    </xf>
    <xf numFmtId="0" fontId="1" fillId="7" borderId="2" xfId="4" applyFont="1" applyBorder="1" applyAlignment="1">
      <alignment horizontal="left"/>
    </xf>
    <xf numFmtId="0" fontId="1" fillId="7" borderId="3" xfId="4" applyFont="1" applyBorder="1" applyAlignment="1">
      <alignment horizontal="left"/>
    </xf>
    <xf numFmtId="0" fontId="1" fillId="7" borderId="7" xfId="4" applyFont="1" applyBorder="1" applyAlignment="1">
      <alignment horizontal="left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7" fillId="0" borderId="7" xfId="0" applyFont="1" applyBorder="1" applyAlignment="1" applyProtection="1">
      <alignment horizontal="left"/>
      <protection locked="0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horizontal="left"/>
      <protection locked="0"/>
    </xf>
  </cellXfs>
  <cellStyles count="6">
    <cellStyle name="20% - Accent4" xfId="2" builtinId="42"/>
    <cellStyle name="20% - Accent5" xfId="3" builtinId="46"/>
    <cellStyle name="40% - Accent5" xfId="4" builtinId="47"/>
    <cellStyle name="Comma" xfId="1" builtinId="3"/>
    <cellStyle name="Hyperlink" xfId="5" builtinId="8"/>
    <cellStyle name="Normal" xfId="0" builtinId="0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</xdr:colOff>
      <xdr:row>0</xdr:row>
      <xdr:rowOff>301999</xdr:rowOff>
    </xdr:from>
    <xdr:to>
      <xdr:col>1</xdr:col>
      <xdr:colOff>807448</xdr:colOff>
      <xdr:row>0</xdr:row>
      <xdr:rowOff>1042147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0D52C7E-718B-48FC-A627-1E0FDD1ED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409" y="301999"/>
          <a:ext cx="803863" cy="740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.fsoft.com.vn/conf/display/FPTSPHIC2/3.+Travel+Policy" TargetMode="External"/><Relationship Id="rId2" Type="http://schemas.openxmlformats.org/officeDocument/2006/relationships/hyperlink" Target="https://qms.fpt.com/document-detail/939dd5cb-ab2c-4c5d-b61a-ca25c0ef08ba/view" TargetMode="External"/><Relationship Id="rId1" Type="http://schemas.openxmlformats.org/officeDocument/2006/relationships/hyperlink" Target="https://qms.fpt.com/document-detail/018100ca-adb1-426e-97dd-b77c627e00fc/view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9615-75B3-4204-84A9-0B2AB7669D42}">
  <sheetPr>
    <tabColor rgb="FFFFC000"/>
  </sheetPr>
  <dimension ref="A1:J29"/>
  <sheetViews>
    <sheetView showGridLines="0" tabSelected="1" topLeftCell="A25" zoomScale="70" zoomScaleNormal="70" zoomScaleSheetLayoutView="85" zoomScalePageLayoutView="70" workbookViewId="0">
      <selection activeCell="G21" sqref="G21:H21"/>
    </sheetView>
  </sheetViews>
  <sheetFormatPr defaultColWidth="8.90625" defaultRowHeight="14.5" x14ac:dyDescent="0.35"/>
  <cols>
    <col min="1" max="1" width="22.90625" style="1" customWidth="1"/>
    <col min="2" max="2" width="59.36328125" style="1" customWidth="1"/>
    <col min="3" max="4" width="15" style="1" customWidth="1"/>
    <col min="5" max="5" width="25.54296875" style="1" customWidth="1"/>
    <col min="6" max="6" width="22.6328125" style="1" customWidth="1"/>
    <col min="7" max="7" width="29.81640625" style="1" customWidth="1"/>
    <col min="8" max="8" width="27" style="1" customWidth="1"/>
    <col min="9" max="9" width="8.90625" style="1"/>
    <col min="10" max="10" width="32.08984375" style="1" customWidth="1"/>
    <col min="11" max="16384" width="8.90625" style="1"/>
  </cols>
  <sheetData>
    <row r="1" spans="1:9" ht="85.25" customHeight="1" x14ac:dyDescent="0.35">
      <c r="C1" s="60" t="s">
        <v>0</v>
      </c>
      <c r="D1" s="60"/>
      <c r="E1" s="60"/>
      <c r="F1" s="60"/>
      <c r="G1" s="60"/>
      <c r="H1" s="60"/>
      <c r="I1" s="7"/>
    </row>
    <row r="2" spans="1:9" ht="35" customHeight="1" x14ac:dyDescent="0.35">
      <c r="B2" s="2" t="s">
        <v>1</v>
      </c>
      <c r="C2" s="61"/>
      <c r="D2" s="61"/>
      <c r="E2" s="61"/>
      <c r="F2" s="61"/>
      <c r="G2" s="61"/>
      <c r="H2" s="61"/>
      <c r="I2" s="7"/>
    </row>
    <row r="3" spans="1:9" ht="17" customHeight="1" x14ac:dyDescent="0.35">
      <c r="B3" s="51" t="s">
        <v>2</v>
      </c>
      <c r="C3" s="52"/>
      <c r="D3" s="53"/>
      <c r="E3" s="57"/>
      <c r="F3" s="58"/>
      <c r="G3" s="58"/>
      <c r="H3" s="59"/>
      <c r="I3" s="7"/>
    </row>
    <row r="4" spans="1:9" ht="17" customHeight="1" x14ac:dyDescent="0.35">
      <c r="B4" s="11" t="s">
        <v>107</v>
      </c>
      <c r="C4" s="31"/>
      <c r="D4" s="32"/>
      <c r="E4" s="33"/>
      <c r="F4" s="34"/>
      <c r="G4" s="34"/>
      <c r="H4" s="35"/>
      <c r="I4" s="7"/>
    </row>
    <row r="5" spans="1:9" x14ac:dyDescent="0.35">
      <c r="B5" s="51" t="s">
        <v>3</v>
      </c>
      <c r="C5" s="52"/>
      <c r="D5" s="53"/>
      <c r="E5" s="57"/>
      <c r="F5" s="58"/>
      <c r="G5" s="58"/>
      <c r="H5" s="59"/>
    </row>
    <row r="6" spans="1:9" x14ac:dyDescent="0.35">
      <c r="B6" s="51" t="s">
        <v>4</v>
      </c>
      <c r="C6" s="52"/>
      <c r="D6" s="53"/>
      <c r="E6" s="57"/>
      <c r="F6" s="58"/>
      <c r="G6" s="58"/>
      <c r="H6" s="59"/>
    </row>
    <row r="7" spans="1:9" x14ac:dyDescent="0.35">
      <c r="B7" s="51" t="s">
        <v>6</v>
      </c>
      <c r="C7" s="52"/>
      <c r="D7" s="53"/>
      <c r="E7" s="11" t="s">
        <v>7</v>
      </c>
      <c r="F7" s="19"/>
      <c r="G7" s="11" t="s">
        <v>8</v>
      </c>
      <c r="H7" s="30"/>
    </row>
    <row r="8" spans="1:9" x14ac:dyDescent="0.35">
      <c r="B8" s="51" t="s">
        <v>9</v>
      </c>
      <c r="C8" s="52"/>
      <c r="D8" s="53"/>
      <c r="E8" s="11" t="s">
        <v>10</v>
      </c>
      <c r="F8" s="20"/>
      <c r="G8" s="11" t="s">
        <v>11</v>
      </c>
      <c r="H8" s="20"/>
    </row>
    <row r="9" spans="1:9" x14ac:dyDescent="0.35">
      <c r="B9" s="51" t="s">
        <v>12</v>
      </c>
      <c r="C9" s="52"/>
      <c r="D9" s="53"/>
      <c r="E9" s="62">
        <f>H8-F8</f>
        <v>0</v>
      </c>
      <c r="F9" s="63"/>
      <c r="G9" s="63"/>
      <c r="H9" s="64"/>
    </row>
    <row r="10" spans="1:9" x14ac:dyDescent="0.35">
      <c r="B10" s="51" t="s">
        <v>13</v>
      </c>
      <c r="C10" s="52"/>
      <c r="D10" s="53"/>
      <c r="E10" s="65"/>
      <c r="F10" s="66"/>
      <c r="G10" s="66"/>
      <c r="H10" s="67"/>
    </row>
    <row r="11" spans="1:9" x14ac:dyDescent="0.35">
      <c r="B11" s="51" t="s">
        <v>41</v>
      </c>
      <c r="C11" s="52"/>
      <c r="D11" s="53"/>
      <c r="E11" s="54">
        <v>0</v>
      </c>
      <c r="F11" s="55"/>
      <c r="G11" s="55"/>
      <c r="H11" s="56"/>
    </row>
    <row r="12" spans="1:9" x14ac:dyDescent="0.35">
      <c r="B12" s="51" t="s">
        <v>31</v>
      </c>
      <c r="C12" s="52"/>
      <c r="D12" s="53"/>
      <c r="E12" s="54" t="e">
        <f>VLOOKUP(H7,Standard!A6:E57,3,0)*E11</f>
        <v>#N/A</v>
      </c>
      <c r="F12" s="55"/>
      <c r="G12" s="55"/>
      <c r="H12" s="56"/>
    </row>
    <row r="13" spans="1:9" x14ac:dyDescent="0.35">
      <c r="B13" s="51" t="s">
        <v>101</v>
      </c>
      <c r="C13" s="52"/>
      <c r="D13" s="53"/>
      <c r="E13" s="54" t="e">
        <f>VLOOKUP(H7,Standard!A7:E58,2,0)*E11</f>
        <v>#N/A</v>
      </c>
      <c r="F13" s="55"/>
      <c r="G13" s="55"/>
      <c r="H13" s="56"/>
    </row>
    <row r="14" spans="1:9" x14ac:dyDescent="0.35">
      <c r="B14" s="51" t="s">
        <v>32</v>
      </c>
      <c r="C14" s="52"/>
      <c r="D14" s="53"/>
      <c r="E14" s="54">
        <v>0</v>
      </c>
      <c r="F14" s="55"/>
      <c r="G14" s="55"/>
      <c r="H14" s="56"/>
    </row>
    <row r="16" spans="1:9" s="4" customFormat="1" ht="29" x14ac:dyDescent="0.35">
      <c r="A16" s="1"/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47" t="s">
        <v>19</v>
      </c>
      <c r="H16" s="48"/>
    </row>
    <row r="17" spans="1:10" ht="29" x14ac:dyDescent="0.35">
      <c r="A17" s="12"/>
      <c r="B17" s="13" t="s">
        <v>20</v>
      </c>
      <c r="C17" s="18">
        <v>0</v>
      </c>
      <c r="D17" s="18">
        <v>0</v>
      </c>
      <c r="E17" s="10">
        <f>C17*D17</f>
        <v>0</v>
      </c>
      <c r="F17" s="10" t="e">
        <f t="shared" ref="F17:F28" si="0">E17/$E$10</f>
        <v>#DIV/0!</v>
      </c>
      <c r="G17" s="41"/>
      <c r="H17" s="42"/>
    </row>
    <row r="18" spans="1:10" ht="64.25" customHeight="1" x14ac:dyDescent="0.35">
      <c r="B18" s="14" t="s">
        <v>21</v>
      </c>
      <c r="C18" s="18">
        <v>0</v>
      </c>
      <c r="D18" s="18">
        <v>0</v>
      </c>
      <c r="E18" s="10">
        <f t="shared" ref="E18:E28" si="1">C18*D18</f>
        <v>0</v>
      </c>
      <c r="F18" s="10" t="e">
        <f t="shared" si="0"/>
        <v>#DIV/0!</v>
      </c>
      <c r="G18" s="49"/>
      <c r="H18" s="50"/>
      <c r="J18" s="6"/>
    </row>
    <row r="19" spans="1:10" x14ac:dyDescent="0.35">
      <c r="B19" s="14" t="s">
        <v>22</v>
      </c>
      <c r="C19" s="18">
        <v>0</v>
      </c>
      <c r="D19" s="18">
        <v>0</v>
      </c>
      <c r="E19" s="10">
        <f t="shared" si="1"/>
        <v>0</v>
      </c>
      <c r="F19" s="10" t="e">
        <f t="shared" si="0"/>
        <v>#DIV/0!</v>
      </c>
      <c r="G19" s="41"/>
      <c r="H19" s="42"/>
    </row>
    <row r="20" spans="1:10" x14ac:dyDescent="0.35">
      <c r="B20" s="14" t="s">
        <v>23</v>
      </c>
      <c r="C20" s="18">
        <v>0</v>
      </c>
      <c r="D20" s="18">
        <v>0</v>
      </c>
      <c r="E20" s="10">
        <f t="shared" si="1"/>
        <v>0</v>
      </c>
      <c r="F20" s="10" t="e">
        <f t="shared" si="0"/>
        <v>#DIV/0!</v>
      </c>
      <c r="G20" s="41"/>
      <c r="H20" s="42"/>
      <c r="J20" s="7"/>
    </row>
    <row r="21" spans="1:10" ht="58" x14ac:dyDescent="0.35">
      <c r="A21" s="12"/>
      <c r="B21" s="13" t="s">
        <v>24</v>
      </c>
      <c r="C21" s="24"/>
      <c r="D21" s="24">
        <f>E9</f>
        <v>0</v>
      </c>
      <c r="E21" s="10">
        <f t="shared" si="1"/>
        <v>0</v>
      </c>
      <c r="F21" s="10" t="e">
        <f t="shared" si="0"/>
        <v>#DIV/0!</v>
      </c>
      <c r="G21" s="41"/>
      <c r="H21" s="42"/>
    </row>
    <row r="22" spans="1:10" ht="103.25" customHeight="1" x14ac:dyDescent="0.35">
      <c r="A22" s="12"/>
      <c r="B22" s="13" t="s">
        <v>102</v>
      </c>
      <c r="C22" s="24">
        <v>0</v>
      </c>
      <c r="D22" s="24">
        <v>0</v>
      </c>
      <c r="E22" s="10">
        <f t="shared" si="1"/>
        <v>0</v>
      </c>
      <c r="F22" s="10" t="e">
        <f t="shared" si="0"/>
        <v>#DIV/0!</v>
      </c>
      <c r="G22" s="41"/>
      <c r="H22" s="42"/>
      <c r="J22" s="7"/>
    </row>
    <row r="23" spans="1:10" ht="132.65" customHeight="1" x14ac:dyDescent="0.35">
      <c r="A23" s="37"/>
      <c r="B23" s="36" t="s">
        <v>106</v>
      </c>
      <c r="C23" s="24"/>
      <c r="D23" s="24">
        <v>1</v>
      </c>
      <c r="E23" s="10">
        <f t="shared" si="1"/>
        <v>0</v>
      </c>
      <c r="F23" s="10" t="e">
        <f t="shared" si="0"/>
        <v>#DIV/0!</v>
      </c>
      <c r="G23" s="41"/>
      <c r="H23" s="42"/>
      <c r="J23" s="7"/>
    </row>
    <row r="24" spans="1:10" ht="120.65" customHeight="1" x14ac:dyDescent="0.35">
      <c r="A24" s="12"/>
      <c r="B24" s="15" t="s">
        <v>25</v>
      </c>
      <c r="C24" s="24"/>
      <c r="D24" s="24">
        <v>1</v>
      </c>
      <c r="E24" s="10">
        <f>C24*D24</f>
        <v>0</v>
      </c>
      <c r="F24" s="10" t="e">
        <f t="shared" si="0"/>
        <v>#DIV/0!</v>
      </c>
      <c r="G24" s="45"/>
      <c r="H24" s="46"/>
    </row>
    <row r="25" spans="1:10" ht="99" customHeight="1" x14ac:dyDescent="0.35">
      <c r="A25" s="12"/>
      <c r="B25" s="13" t="s">
        <v>26</v>
      </c>
      <c r="C25" s="24">
        <f>4*E10</f>
        <v>0</v>
      </c>
      <c r="D25" s="24">
        <v>5</v>
      </c>
      <c r="E25" s="10">
        <f t="shared" si="1"/>
        <v>0</v>
      </c>
      <c r="F25" s="10" t="e">
        <f t="shared" si="0"/>
        <v>#DIV/0!</v>
      </c>
      <c r="G25" s="41"/>
      <c r="H25" s="42"/>
    </row>
    <row r="26" spans="1:10" ht="108" customHeight="1" x14ac:dyDescent="0.35">
      <c r="A26" s="12"/>
      <c r="B26" s="13" t="s">
        <v>27</v>
      </c>
      <c r="C26" s="38">
        <v>0</v>
      </c>
      <c r="D26" s="38">
        <v>0</v>
      </c>
      <c r="E26" s="10">
        <f t="shared" si="1"/>
        <v>0</v>
      </c>
      <c r="F26" s="10" t="e">
        <f t="shared" si="0"/>
        <v>#DIV/0!</v>
      </c>
      <c r="G26" s="41"/>
      <c r="H26" s="42"/>
    </row>
    <row r="27" spans="1:10" ht="56.4" customHeight="1" x14ac:dyDescent="0.35">
      <c r="A27" s="12"/>
      <c r="B27" s="13" t="s">
        <v>28</v>
      </c>
      <c r="C27" s="38">
        <v>0</v>
      </c>
      <c r="D27" s="38">
        <v>0</v>
      </c>
      <c r="E27" s="10">
        <f t="shared" si="1"/>
        <v>0</v>
      </c>
      <c r="F27" s="10" t="e">
        <f t="shared" si="0"/>
        <v>#DIV/0!</v>
      </c>
      <c r="G27" s="41"/>
      <c r="H27" s="42"/>
      <c r="I27" s="5"/>
    </row>
    <row r="28" spans="1:10" ht="88.25" customHeight="1" x14ac:dyDescent="0.35">
      <c r="A28" s="12"/>
      <c r="B28" s="13" t="s">
        <v>29</v>
      </c>
      <c r="C28" s="39">
        <v>0</v>
      </c>
      <c r="D28" s="40">
        <v>0</v>
      </c>
      <c r="E28" s="10">
        <f t="shared" si="1"/>
        <v>0</v>
      </c>
      <c r="F28" s="10" t="e">
        <f t="shared" si="0"/>
        <v>#DIV/0!</v>
      </c>
      <c r="G28" s="41"/>
      <c r="H28" s="42"/>
    </row>
    <row r="29" spans="1:10" s="2" customFormat="1" ht="23.4" customHeight="1" x14ac:dyDescent="0.35">
      <c r="B29" s="8" t="s">
        <v>30</v>
      </c>
      <c r="C29" s="9"/>
      <c r="D29" s="9"/>
      <c r="E29" s="16">
        <f>SUM(E17:E28)</f>
        <v>0</v>
      </c>
      <c r="F29" s="17" t="e">
        <f>E29/E$10</f>
        <v>#DIV/0!</v>
      </c>
      <c r="G29" s="43"/>
      <c r="H29" s="44"/>
    </row>
  </sheetData>
  <sheetProtection selectLockedCells="1"/>
  <mergeCells count="35">
    <mergeCell ref="B3:D3"/>
    <mergeCell ref="E3:H3"/>
    <mergeCell ref="C1:H2"/>
    <mergeCell ref="E9:H9"/>
    <mergeCell ref="E10:H10"/>
    <mergeCell ref="B5:D5"/>
    <mergeCell ref="B6:D6"/>
    <mergeCell ref="E5:H5"/>
    <mergeCell ref="E6:H6"/>
    <mergeCell ref="B7:D7"/>
    <mergeCell ref="B8:D8"/>
    <mergeCell ref="B9:D9"/>
    <mergeCell ref="B10:D10"/>
    <mergeCell ref="B12:D12"/>
    <mergeCell ref="B14:D14"/>
    <mergeCell ref="E14:H14"/>
    <mergeCell ref="B11:D11"/>
    <mergeCell ref="E11:H11"/>
    <mergeCell ref="B13:D13"/>
    <mergeCell ref="E13:H13"/>
    <mergeCell ref="E12:H12"/>
    <mergeCell ref="G16:H16"/>
    <mergeCell ref="G17:H17"/>
    <mergeCell ref="G18:H18"/>
    <mergeCell ref="G19:H19"/>
    <mergeCell ref="G20:H20"/>
    <mergeCell ref="G27:H27"/>
    <mergeCell ref="G28:H28"/>
    <mergeCell ref="G29:H29"/>
    <mergeCell ref="G21:H21"/>
    <mergeCell ref="G22:H22"/>
    <mergeCell ref="G24:H24"/>
    <mergeCell ref="G25:H25"/>
    <mergeCell ref="G26:H26"/>
    <mergeCell ref="G23:H23"/>
  </mergeCells>
  <conditionalFormatting sqref="C25:D25">
    <cfRule type="cellIs" dxfId="2" priority="2" operator="equal">
      <formula>"NA"</formula>
    </cfRule>
  </conditionalFormatting>
  <conditionalFormatting sqref="D28">
    <cfRule type="cellIs" dxfId="1" priority="3" operator="equal">
      <formula>"NA"</formula>
    </cfRule>
  </conditionalFormatting>
  <conditionalFormatting sqref="E17:G28">
    <cfRule type="cellIs" dxfId="0" priority="1" operator="equal">
      <formula>"NA"</formula>
    </cfRule>
  </conditionalFormatting>
  <pageMargins left="0.70866141732283472" right="0.70866141732283472" top="0.74803149606299213" bottom="0.74803149606299213" header="0.31496062992125984" footer="0.31496062992125984"/>
  <pageSetup scale="35" orientation="portrait" r:id="rId1"/>
  <headerFooter>
    <oddHeader>&amp;L&amp;"Arial,Regular"&amp;10&amp;K02-017Travel Cost Estimation&amp;R&amp;"Arial,Regular"&amp;10&amp;K02-020v1.0</oddHeader>
    <oddFooter>&amp;L&amp;"Arial,Regular"&amp;10&amp;K02-018HRA-PL-TRV-TL-003&amp;C&amp;"Arial,Bold Italic"&amp;10&amp;K02-023Confidential&amp;R&amp;P of &amp;P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90494F64-55AF-461E-897F-E46EA33055E1}">
          <x14:formula1>
            <xm:f>Standard!$A$63:$A$64</xm:f>
          </x14:formula1>
          <xm:sqref>E6:H6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429-885D-4E49-A8B4-1B842493AC6F}">
  <dimension ref="A2:E64"/>
  <sheetViews>
    <sheetView topLeftCell="A41" workbookViewId="0">
      <selection activeCell="I7" sqref="I7"/>
    </sheetView>
  </sheetViews>
  <sheetFormatPr defaultRowHeight="14.5" x14ac:dyDescent="0.35"/>
  <cols>
    <col min="1" max="1" width="26.90625" customWidth="1"/>
    <col min="2" max="2" width="22.36328125" customWidth="1"/>
    <col min="3" max="3" width="13.36328125" customWidth="1"/>
    <col min="4" max="4" width="23.6328125" customWidth="1"/>
    <col min="5" max="5" width="10.54296875" customWidth="1"/>
  </cols>
  <sheetData>
    <row r="2" spans="1:5" x14ac:dyDescent="0.35">
      <c r="A2" s="21" t="s">
        <v>42</v>
      </c>
      <c r="B2" s="21"/>
    </row>
    <row r="3" spans="1:5" x14ac:dyDescent="0.35">
      <c r="A3" s="29" t="s">
        <v>97</v>
      </c>
      <c r="B3" s="27" t="s">
        <v>98</v>
      </c>
    </row>
    <row r="4" spans="1:5" x14ac:dyDescent="0.35">
      <c r="A4" s="26"/>
      <c r="B4" s="27" t="s">
        <v>99</v>
      </c>
    </row>
    <row r="5" spans="1:5" ht="43.5" x14ac:dyDescent="0.35">
      <c r="A5" s="22" t="s">
        <v>37</v>
      </c>
      <c r="B5" s="22" t="s">
        <v>44</v>
      </c>
      <c r="C5" s="22" t="s">
        <v>40</v>
      </c>
      <c r="D5" s="28" t="s">
        <v>100</v>
      </c>
      <c r="E5" s="22" t="s">
        <v>90</v>
      </c>
    </row>
    <row r="6" spans="1:5" x14ac:dyDescent="0.35">
      <c r="A6" s="23" t="s">
        <v>88</v>
      </c>
      <c r="B6" s="23">
        <v>65</v>
      </c>
      <c r="C6" s="23">
        <v>20</v>
      </c>
      <c r="D6" s="23">
        <v>30</v>
      </c>
      <c r="E6" s="23" t="s">
        <v>18</v>
      </c>
    </row>
    <row r="7" spans="1:5" x14ac:dyDescent="0.35">
      <c r="A7" s="23" t="s">
        <v>89</v>
      </c>
      <c r="B7" s="23">
        <v>65</v>
      </c>
      <c r="C7" s="23">
        <v>16.399999999999999</v>
      </c>
      <c r="D7" s="23">
        <v>30</v>
      </c>
      <c r="E7" s="23" t="s">
        <v>18</v>
      </c>
    </row>
    <row r="8" spans="1:5" x14ac:dyDescent="0.35">
      <c r="A8" s="23" t="s">
        <v>38</v>
      </c>
      <c r="B8" s="23">
        <v>46</v>
      </c>
      <c r="C8" s="23">
        <v>15</v>
      </c>
      <c r="D8" s="23">
        <v>15</v>
      </c>
      <c r="E8" s="23" t="s">
        <v>18</v>
      </c>
    </row>
    <row r="9" spans="1:5" x14ac:dyDescent="0.35">
      <c r="A9" s="23" t="s">
        <v>105</v>
      </c>
      <c r="B9" s="23">
        <v>160</v>
      </c>
      <c r="C9" s="23">
        <v>55</v>
      </c>
      <c r="D9" s="23">
        <v>120</v>
      </c>
      <c r="E9" s="23" t="s">
        <v>18</v>
      </c>
    </row>
    <row r="10" spans="1:5" x14ac:dyDescent="0.35">
      <c r="A10" s="23" t="s">
        <v>43</v>
      </c>
      <c r="B10" s="23">
        <v>160</v>
      </c>
      <c r="C10" s="23">
        <v>65</v>
      </c>
      <c r="D10" s="23">
        <v>120</v>
      </c>
      <c r="E10" s="23" t="s">
        <v>18</v>
      </c>
    </row>
    <row r="11" spans="1:5" x14ac:dyDescent="0.35">
      <c r="A11" s="23" t="s">
        <v>45</v>
      </c>
      <c r="B11" s="23">
        <v>160</v>
      </c>
      <c r="C11" s="23">
        <v>60</v>
      </c>
      <c r="D11" s="23">
        <v>120</v>
      </c>
      <c r="E11" s="23" t="s">
        <v>18</v>
      </c>
    </row>
    <row r="12" spans="1:5" x14ac:dyDescent="0.35">
      <c r="A12" s="23" t="s">
        <v>46</v>
      </c>
      <c r="B12" s="23">
        <v>150</v>
      </c>
      <c r="C12" s="23">
        <v>55</v>
      </c>
      <c r="D12" s="23">
        <v>120</v>
      </c>
      <c r="E12" s="23" t="s">
        <v>18</v>
      </c>
    </row>
    <row r="13" spans="1:5" x14ac:dyDescent="0.35">
      <c r="A13" s="23" t="s">
        <v>47</v>
      </c>
      <c r="B13" s="23">
        <v>70</v>
      </c>
      <c r="C13" s="23">
        <v>40</v>
      </c>
      <c r="D13" s="23">
        <v>50</v>
      </c>
      <c r="E13" s="23" t="s">
        <v>18</v>
      </c>
    </row>
    <row r="14" spans="1:5" x14ac:dyDescent="0.35">
      <c r="A14" s="23" t="s">
        <v>48</v>
      </c>
      <c r="B14" s="23">
        <v>80</v>
      </c>
      <c r="C14" s="23">
        <v>45</v>
      </c>
      <c r="D14" s="23">
        <v>80</v>
      </c>
      <c r="E14" s="23" t="s">
        <v>18</v>
      </c>
    </row>
    <row r="15" spans="1:5" x14ac:dyDescent="0.35">
      <c r="A15" s="23" t="s">
        <v>49</v>
      </c>
      <c r="B15" s="23">
        <v>80</v>
      </c>
      <c r="C15" s="23">
        <v>45</v>
      </c>
      <c r="D15" s="23">
        <v>80</v>
      </c>
      <c r="E15" s="23" t="s">
        <v>18</v>
      </c>
    </row>
    <row r="16" spans="1:5" x14ac:dyDescent="0.35">
      <c r="A16" s="23" t="s">
        <v>50</v>
      </c>
      <c r="B16" s="23">
        <v>50</v>
      </c>
      <c r="C16" s="23">
        <v>30</v>
      </c>
      <c r="D16" s="23">
        <v>50</v>
      </c>
      <c r="E16" s="23" t="s">
        <v>18</v>
      </c>
    </row>
    <row r="17" spans="1:5" x14ac:dyDescent="0.35">
      <c r="A17" s="23" t="s">
        <v>92</v>
      </c>
      <c r="B17" s="23">
        <v>70</v>
      </c>
      <c r="C17" s="23">
        <v>40</v>
      </c>
      <c r="D17" s="23">
        <v>55</v>
      </c>
      <c r="E17" s="23" t="s">
        <v>91</v>
      </c>
    </row>
    <row r="18" spans="1:5" x14ac:dyDescent="0.35">
      <c r="A18" s="23" t="s">
        <v>93</v>
      </c>
      <c r="B18" s="23">
        <v>70</v>
      </c>
      <c r="C18" s="23">
        <v>40</v>
      </c>
      <c r="D18" s="23">
        <v>55</v>
      </c>
      <c r="E18" s="23" t="s">
        <v>91</v>
      </c>
    </row>
    <row r="19" spans="1:5" x14ac:dyDescent="0.35">
      <c r="A19" s="23" t="s">
        <v>57</v>
      </c>
      <c r="B19" s="23">
        <v>100</v>
      </c>
      <c r="C19" s="23">
        <v>45</v>
      </c>
      <c r="D19" s="23">
        <v>65</v>
      </c>
      <c r="E19" s="23" t="s">
        <v>94</v>
      </c>
    </row>
    <row r="20" spans="1:5" x14ac:dyDescent="0.35">
      <c r="A20" s="23" t="s">
        <v>61</v>
      </c>
      <c r="B20" s="23">
        <v>120</v>
      </c>
      <c r="C20" s="23">
        <v>50</v>
      </c>
      <c r="D20" s="23">
        <v>100</v>
      </c>
      <c r="E20" s="23" t="s">
        <v>94</v>
      </c>
    </row>
    <row r="21" spans="1:5" x14ac:dyDescent="0.35">
      <c r="A21" s="23" t="s">
        <v>51</v>
      </c>
      <c r="B21" s="23">
        <v>100</v>
      </c>
      <c r="C21" s="23">
        <v>45</v>
      </c>
      <c r="D21" s="23">
        <v>65</v>
      </c>
      <c r="E21" s="23" t="s">
        <v>94</v>
      </c>
    </row>
    <row r="22" spans="1:5" x14ac:dyDescent="0.35">
      <c r="A22" s="23" t="s">
        <v>52</v>
      </c>
      <c r="B22" s="23">
        <v>100</v>
      </c>
      <c r="C22" s="23">
        <v>45</v>
      </c>
      <c r="D22" s="23">
        <v>65</v>
      </c>
      <c r="E22" s="23" t="s">
        <v>94</v>
      </c>
    </row>
    <row r="23" spans="1:5" x14ac:dyDescent="0.35">
      <c r="A23" s="23" t="s">
        <v>53</v>
      </c>
      <c r="B23" s="23">
        <v>100</v>
      </c>
      <c r="C23" s="23">
        <v>45</v>
      </c>
      <c r="D23" s="23">
        <v>65</v>
      </c>
      <c r="E23" s="23" t="s">
        <v>94</v>
      </c>
    </row>
    <row r="24" spans="1:5" x14ac:dyDescent="0.35">
      <c r="A24" s="23" t="s">
        <v>54</v>
      </c>
      <c r="B24" s="23">
        <v>100</v>
      </c>
      <c r="C24" s="23">
        <v>45</v>
      </c>
      <c r="D24" s="23">
        <v>65</v>
      </c>
      <c r="E24" s="23" t="s">
        <v>94</v>
      </c>
    </row>
    <row r="25" spans="1:5" x14ac:dyDescent="0.35">
      <c r="A25" s="23" t="s">
        <v>55</v>
      </c>
      <c r="B25" s="23">
        <v>100</v>
      </c>
      <c r="C25" s="23">
        <v>45</v>
      </c>
      <c r="D25" s="23">
        <v>65</v>
      </c>
      <c r="E25" s="23" t="s">
        <v>94</v>
      </c>
    </row>
    <row r="26" spans="1:5" x14ac:dyDescent="0.35">
      <c r="A26" s="23" t="s">
        <v>56</v>
      </c>
      <c r="B26" s="23">
        <v>100</v>
      </c>
      <c r="C26" s="23">
        <v>45</v>
      </c>
      <c r="D26" s="23">
        <v>65</v>
      </c>
      <c r="E26" s="23" t="s">
        <v>94</v>
      </c>
    </row>
    <row r="27" spans="1:5" x14ac:dyDescent="0.35">
      <c r="A27" s="23" t="s">
        <v>58</v>
      </c>
      <c r="B27" s="23">
        <v>80</v>
      </c>
      <c r="C27" s="23">
        <v>40</v>
      </c>
      <c r="D27" s="23">
        <v>90</v>
      </c>
      <c r="E27" s="23" t="s">
        <v>94</v>
      </c>
    </row>
    <row r="28" spans="1:5" x14ac:dyDescent="0.35">
      <c r="A28" s="23" t="s">
        <v>59</v>
      </c>
      <c r="B28" s="23">
        <v>120</v>
      </c>
      <c r="C28" s="23">
        <v>50</v>
      </c>
      <c r="D28" s="23">
        <v>100</v>
      </c>
      <c r="E28" s="23" t="s">
        <v>94</v>
      </c>
    </row>
    <row r="29" spans="1:5" x14ac:dyDescent="0.35">
      <c r="A29" s="23" t="s">
        <v>60</v>
      </c>
      <c r="B29" s="23">
        <v>100</v>
      </c>
      <c r="C29" s="23">
        <v>40</v>
      </c>
      <c r="D29" s="23">
        <v>60</v>
      </c>
      <c r="E29" s="23" t="s">
        <v>94</v>
      </c>
    </row>
    <row r="30" spans="1:5" x14ac:dyDescent="0.35">
      <c r="A30" s="23" t="s">
        <v>62</v>
      </c>
      <c r="B30" s="23">
        <v>150</v>
      </c>
      <c r="C30" s="23">
        <v>60</v>
      </c>
      <c r="D30" s="23">
        <v>70</v>
      </c>
      <c r="E30" s="23" t="s">
        <v>95</v>
      </c>
    </row>
    <row r="31" spans="1:5" x14ac:dyDescent="0.35">
      <c r="A31" s="23" t="s">
        <v>63</v>
      </c>
      <c r="B31" s="23">
        <v>75</v>
      </c>
      <c r="C31" s="23">
        <v>30</v>
      </c>
      <c r="D31" s="23">
        <v>40</v>
      </c>
      <c r="E31" s="23" t="s">
        <v>94</v>
      </c>
    </row>
    <row r="32" spans="1:5" x14ac:dyDescent="0.35">
      <c r="A32" s="23" t="s">
        <v>64</v>
      </c>
      <c r="B32" s="23">
        <v>75</v>
      </c>
      <c r="C32" s="23">
        <v>30</v>
      </c>
      <c r="D32" s="23">
        <v>40</v>
      </c>
      <c r="E32" s="23" t="s">
        <v>94</v>
      </c>
    </row>
    <row r="33" spans="1:5" x14ac:dyDescent="0.35">
      <c r="A33" s="23" t="s">
        <v>65</v>
      </c>
      <c r="B33" s="23">
        <v>75</v>
      </c>
      <c r="C33" s="23">
        <v>30</v>
      </c>
      <c r="D33" s="23">
        <v>40</v>
      </c>
      <c r="E33" s="23" t="s">
        <v>94</v>
      </c>
    </row>
    <row r="34" spans="1:5" x14ac:dyDescent="0.35">
      <c r="A34" s="23" t="s">
        <v>66</v>
      </c>
      <c r="B34" s="23">
        <v>75</v>
      </c>
      <c r="C34" s="23">
        <v>30</v>
      </c>
      <c r="D34" s="23">
        <v>40</v>
      </c>
      <c r="E34" s="23" t="s">
        <v>94</v>
      </c>
    </row>
    <row r="35" spans="1:5" x14ac:dyDescent="0.35">
      <c r="A35" s="23" t="s">
        <v>67</v>
      </c>
      <c r="B35" s="23">
        <v>75</v>
      </c>
      <c r="C35" s="23">
        <v>30</v>
      </c>
      <c r="D35" s="23">
        <v>40</v>
      </c>
      <c r="E35" s="23" t="s">
        <v>94</v>
      </c>
    </row>
    <row r="36" spans="1:5" x14ac:dyDescent="0.35">
      <c r="A36" s="23" t="s">
        <v>68</v>
      </c>
      <c r="B36" s="23">
        <v>75</v>
      </c>
      <c r="C36" s="23">
        <v>30</v>
      </c>
      <c r="D36" s="23">
        <v>40</v>
      </c>
      <c r="E36" s="23" t="s">
        <v>94</v>
      </c>
    </row>
    <row r="37" spans="1:5" x14ac:dyDescent="0.35">
      <c r="A37" s="23" t="s">
        <v>69</v>
      </c>
      <c r="B37" s="23">
        <v>75</v>
      </c>
      <c r="C37" s="23">
        <v>30</v>
      </c>
      <c r="D37" s="23">
        <v>40</v>
      </c>
      <c r="E37" s="23" t="s">
        <v>94</v>
      </c>
    </row>
    <row r="38" spans="1:5" x14ac:dyDescent="0.35">
      <c r="A38" s="23" t="s">
        <v>70</v>
      </c>
      <c r="B38" s="23">
        <v>75</v>
      </c>
      <c r="C38" s="23">
        <v>30</v>
      </c>
      <c r="D38" s="23">
        <v>40</v>
      </c>
      <c r="E38" s="23" t="s">
        <v>94</v>
      </c>
    </row>
    <row r="39" spans="1:5" x14ac:dyDescent="0.35">
      <c r="A39" s="23" t="s">
        <v>39</v>
      </c>
      <c r="B39" s="23">
        <v>10000</v>
      </c>
      <c r="C39" s="23">
        <v>5000</v>
      </c>
      <c r="D39" s="23">
        <v>9500</v>
      </c>
      <c r="E39" s="23" t="s">
        <v>96</v>
      </c>
    </row>
    <row r="40" spans="1:5" x14ac:dyDescent="0.35">
      <c r="A40" s="23" t="s">
        <v>71</v>
      </c>
      <c r="B40" s="23">
        <v>150</v>
      </c>
      <c r="C40" s="23">
        <v>35</v>
      </c>
      <c r="D40" s="23">
        <v>80</v>
      </c>
      <c r="E40" s="23" t="s">
        <v>18</v>
      </c>
    </row>
    <row r="41" spans="1:5" x14ac:dyDescent="0.35">
      <c r="A41" s="23" t="s">
        <v>72</v>
      </c>
      <c r="B41" s="23">
        <v>100</v>
      </c>
      <c r="C41" s="23">
        <v>31</v>
      </c>
      <c r="D41" s="23">
        <v>80</v>
      </c>
      <c r="E41" s="23" t="s">
        <v>18</v>
      </c>
    </row>
    <row r="42" spans="1:5" x14ac:dyDescent="0.35">
      <c r="A42" s="23" t="s">
        <v>73</v>
      </c>
      <c r="B42" s="23">
        <v>90</v>
      </c>
      <c r="C42" s="23">
        <v>40</v>
      </c>
      <c r="D42" s="23">
        <v>80</v>
      </c>
      <c r="E42" s="23" t="s">
        <v>18</v>
      </c>
    </row>
    <row r="43" spans="1:5" x14ac:dyDescent="0.35">
      <c r="A43" s="23" t="s">
        <v>74</v>
      </c>
      <c r="B43" s="23">
        <v>90</v>
      </c>
      <c r="C43" s="23">
        <v>40</v>
      </c>
      <c r="D43" s="23">
        <v>80</v>
      </c>
      <c r="E43" s="23" t="s">
        <v>18</v>
      </c>
    </row>
    <row r="44" spans="1:5" x14ac:dyDescent="0.35">
      <c r="A44" s="23" t="s">
        <v>75</v>
      </c>
      <c r="B44" s="23">
        <v>90</v>
      </c>
      <c r="C44" s="23">
        <v>40</v>
      </c>
      <c r="D44" s="23">
        <v>80</v>
      </c>
      <c r="E44" s="23" t="s">
        <v>18</v>
      </c>
    </row>
    <row r="45" spans="1:5" x14ac:dyDescent="0.35">
      <c r="A45" s="23" t="s">
        <v>76</v>
      </c>
      <c r="B45" s="23">
        <v>100</v>
      </c>
      <c r="C45" s="23">
        <v>40</v>
      </c>
      <c r="D45" s="23">
        <v>80</v>
      </c>
      <c r="E45" s="23" t="s">
        <v>18</v>
      </c>
    </row>
    <row r="46" spans="1:5" x14ac:dyDescent="0.35">
      <c r="A46" s="23" t="s">
        <v>77</v>
      </c>
      <c r="B46" s="23">
        <v>90</v>
      </c>
      <c r="C46" s="23">
        <v>45</v>
      </c>
      <c r="D46" s="23">
        <v>80</v>
      </c>
      <c r="E46" s="23" t="s">
        <v>18</v>
      </c>
    </row>
    <row r="47" spans="1:5" x14ac:dyDescent="0.35">
      <c r="A47" s="23" t="s">
        <v>78</v>
      </c>
      <c r="B47" s="23">
        <v>65</v>
      </c>
      <c r="C47" s="23">
        <v>30</v>
      </c>
      <c r="D47" s="23">
        <v>30</v>
      </c>
      <c r="E47" s="23" t="s">
        <v>18</v>
      </c>
    </row>
    <row r="48" spans="1:5" x14ac:dyDescent="0.35">
      <c r="A48" s="23" t="s">
        <v>79</v>
      </c>
      <c r="B48" s="23">
        <v>55</v>
      </c>
      <c r="C48" s="23">
        <v>30</v>
      </c>
      <c r="D48" s="23">
        <v>60</v>
      </c>
      <c r="E48" s="23" t="s">
        <v>18</v>
      </c>
    </row>
    <row r="49" spans="1:5" x14ac:dyDescent="0.35">
      <c r="A49" s="23" t="s">
        <v>80</v>
      </c>
      <c r="B49" s="23">
        <v>50</v>
      </c>
      <c r="C49" s="23">
        <v>25</v>
      </c>
      <c r="D49" s="23">
        <v>30</v>
      </c>
      <c r="E49" s="23" t="s">
        <v>18</v>
      </c>
    </row>
    <row r="50" spans="1:5" x14ac:dyDescent="0.35">
      <c r="A50" s="23" t="s">
        <v>81</v>
      </c>
      <c r="B50" s="23">
        <v>50</v>
      </c>
      <c r="C50" s="23">
        <v>25</v>
      </c>
      <c r="D50" s="23">
        <v>25</v>
      </c>
      <c r="E50" s="23" t="s">
        <v>18</v>
      </c>
    </row>
    <row r="51" spans="1:5" x14ac:dyDescent="0.35">
      <c r="A51" s="23" t="s">
        <v>82</v>
      </c>
      <c r="B51" s="23">
        <v>40</v>
      </c>
      <c r="C51" s="23">
        <v>30</v>
      </c>
      <c r="D51" s="23">
        <v>60</v>
      </c>
      <c r="E51" s="23" t="s">
        <v>18</v>
      </c>
    </row>
    <row r="52" spans="1:5" x14ac:dyDescent="0.35">
      <c r="A52" s="23" t="s">
        <v>83</v>
      </c>
      <c r="B52" s="23">
        <v>30</v>
      </c>
      <c r="C52" s="23">
        <v>15</v>
      </c>
      <c r="D52" s="23">
        <v>25</v>
      </c>
      <c r="E52" s="23" t="s">
        <v>18</v>
      </c>
    </row>
    <row r="53" spans="1:5" x14ac:dyDescent="0.35">
      <c r="A53" s="23" t="s">
        <v>84</v>
      </c>
      <c r="B53" s="23">
        <v>30</v>
      </c>
      <c r="C53" s="23">
        <v>15</v>
      </c>
      <c r="D53" s="23">
        <v>25</v>
      </c>
      <c r="E53" s="23" t="s">
        <v>18</v>
      </c>
    </row>
    <row r="54" spans="1:5" x14ac:dyDescent="0.35">
      <c r="A54" s="23" t="s">
        <v>85</v>
      </c>
      <c r="B54" s="23">
        <v>60</v>
      </c>
      <c r="C54" s="23">
        <v>30</v>
      </c>
      <c r="D54" s="23">
        <v>30</v>
      </c>
      <c r="E54" s="23" t="s">
        <v>18</v>
      </c>
    </row>
    <row r="55" spans="1:5" x14ac:dyDescent="0.35">
      <c r="A55" s="23" t="s">
        <v>86</v>
      </c>
      <c r="B55" s="23">
        <v>30</v>
      </c>
      <c r="C55" s="23">
        <v>25</v>
      </c>
      <c r="D55" s="23">
        <v>30</v>
      </c>
      <c r="E55" s="23" t="s">
        <v>18</v>
      </c>
    </row>
    <row r="56" spans="1:5" x14ac:dyDescent="0.35">
      <c r="A56" s="23" t="s">
        <v>87</v>
      </c>
      <c r="B56" s="23">
        <v>50</v>
      </c>
      <c r="C56" s="23">
        <v>30</v>
      </c>
      <c r="D56" s="23">
        <v>20</v>
      </c>
      <c r="E56" s="23" t="s">
        <v>18</v>
      </c>
    </row>
    <row r="57" spans="1:5" x14ac:dyDescent="0.35">
      <c r="A57" s="23" t="s">
        <v>38</v>
      </c>
      <c r="B57" s="23">
        <v>46</v>
      </c>
      <c r="C57" s="23">
        <v>15</v>
      </c>
      <c r="D57" s="23">
        <v>15</v>
      </c>
      <c r="E57" s="23" t="s">
        <v>18</v>
      </c>
    </row>
    <row r="60" spans="1:5" x14ac:dyDescent="0.35">
      <c r="A60" s="21" t="s">
        <v>33</v>
      </c>
      <c r="B60" s="21"/>
    </row>
    <row r="61" spans="1:5" x14ac:dyDescent="0.35">
      <c r="A61" s="29" t="s">
        <v>103</v>
      </c>
      <c r="B61" s="27" t="s">
        <v>104</v>
      </c>
    </row>
    <row r="62" spans="1:5" x14ac:dyDescent="0.35">
      <c r="A62" s="22" t="s">
        <v>34</v>
      </c>
      <c r="B62" s="22" t="s">
        <v>36</v>
      </c>
      <c r="C62" s="25"/>
      <c r="D62" s="25"/>
    </row>
    <row r="63" spans="1:5" x14ac:dyDescent="0.35">
      <c r="A63" s="23" t="s">
        <v>5</v>
      </c>
      <c r="B63" s="23">
        <v>10</v>
      </c>
    </row>
    <row r="64" spans="1:5" x14ac:dyDescent="0.35">
      <c r="A64" s="23" t="s">
        <v>35</v>
      </c>
      <c r="B64" s="23">
        <v>4</v>
      </c>
    </row>
  </sheetData>
  <hyperlinks>
    <hyperlink ref="B3" r:id="rId1" xr:uid="{E8A94F38-9019-4359-A7EE-4B6DFDD51899}"/>
    <hyperlink ref="B4" r:id="rId2" xr:uid="{F2BEAB9B-B161-4B2C-8297-88E753AC3A8F}"/>
    <hyperlink ref="B61" r:id="rId3" xr:uid="{9F0552EC-0201-4AE7-BB56-098D4FB74F4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Travel Cost Est</vt:lpstr>
      <vt:lpstr>Standard</vt:lpstr>
      <vt:lpstr>'Travel Cost Est'!Print_Area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Elaine Negrite</dc:creator>
  <cp:keywords/>
  <dc:description/>
  <cp:lastModifiedBy>Katherine Barrientos Roldan</cp:lastModifiedBy>
  <cp:revision/>
  <cp:lastPrinted>2025-06-11T08:24:09Z</cp:lastPrinted>
  <dcterms:created xsi:type="dcterms:W3CDTF">2023-10-11T10:47:16Z</dcterms:created>
  <dcterms:modified xsi:type="dcterms:W3CDTF">2025-07-28T02:29:48Z</dcterms:modified>
  <cp:category/>
  <cp:contentStatus/>
</cp:coreProperties>
</file>